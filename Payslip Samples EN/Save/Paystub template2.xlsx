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ntin@us.ibm.com/Documents/Business/Projects/Capture Aria/Demo System/Training and Testing/Training Sets/PM Demo/Paystubs/"/>
    </mc:Choice>
  </mc:AlternateContent>
  <xr:revisionPtr revIDLastSave="0" documentId="13_ncr:1_{D3865967-E090-6644-A049-A762800A3624}" xr6:coauthVersionLast="47" xr6:coauthVersionMax="47" xr10:uidLastSave="{00000000-0000-0000-0000-000000000000}"/>
  <bookViews>
    <workbookView xWindow="-37700" yWindow="1980" windowWidth="30920" windowHeight="18360" xr2:uid="{CE7583C1-81C8-184F-BA75-F1BAC0CE51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" l="1"/>
  <c r="D36" i="1"/>
  <c r="D26" i="1" s="1"/>
  <c r="F18" i="1"/>
  <c r="F17" i="1"/>
  <c r="D21" i="1"/>
  <c r="D20" i="1"/>
  <c r="D19" i="1"/>
  <c r="D18" i="1"/>
  <c r="D17" i="1"/>
  <c r="D27" i="1"/>
  <c r="D25" i="1"/>
  <c r="D24" i="1"/>
  <c r="F38" i="1"/>
  <c r="D37" i="1" l="1"/>
  <c r="F36" i="1"/>
  <c r="F24" i="1" s="1"/>
  <c r="F26" i="1"/>
  <c r="F27" i="1"/>
  <c r="F25" i="1" l="1"/>
  <c r="F37" i="1"/>
</calcChain>
</file>

<file path=xl/sharedStrings.xml><?xml version="1.0" encoding="utf-8"?>
<sst xmlns="http://schemas.openxmlformats.org/spreadsheetml/2006/main" count="65" uniqueCount="59">
  <si>
    <t>Employer</t>
  </si>
  <si>
    <t>Period ending</t>
  </si>
  <si>
    <t>Company Name:</t>
  </si>
  <si>
    <t>ABC COMPANY</t>
  </si>
  <si>
    <t>1234 MAIN STREET</t>
  </si>
  <si>
    <t>MINNEAPOLIS, MN. 55411-2321</t>
  </si>
  <si>
    <t>612-345-6789</t>
  </si>
  <si>
    <t>Pay date:</t>
  </si>
  <si>
    <t>Employee</t>
  </si>
  <si>
    <t>Tax Data</t>
  </si>
  <si>
    <t>Employee ID:</t>
  </si>
  <si>
    <t>2345654D</t>
  </si>
  <si>
    <t>Employee Name:</t>
  </si>
  <si>
    <t>ROBERT HANSON</t>
  </si>
  <si>
    <t>Employee Address:</t>
  </si>
  <si>
    <t>1234 OAK STREET</t>
  </si>
  <si>
    <t>MINNEPOLIS, MN. 32345-6594</t>
  </si>
  <si>
    <t>Benefits Information</t>
  </si>
  <si>
    <t>-------- This period --------</t>
  </si>
  <si>
    <t>Year to Date</t>
  </si>
  <si>
    <t>Rate</t>
  </si>
  <si>
    <t>Hours</t>
  </si>
  <si>
    <t>Earnings</t>
  </si>
  <si>
    <t>Vacation Hours</t>
  </si>
  <si>
    <t>Regular</t>
  </si>
  <si>
    <t>Sick Hours</t>
  </si>
  <si>
    <t>Overtime</t>
  </si>
  <si>
    <t>Holiday</t>
  </si>
  <si>
    <t>Position</t>
  </si>
  <si>
    <t>Manager</t>
  </si>
  <si>
    <t>Vacation</t>
  </si>
  <si>
    <t>Sick</t>
  </si>
  <si>
    <t>Important Information</t>
  </si>
  <si>
    <t>This period</t>
  </si>
  <si>
    <t xml:space="preserve">Annual charitable contribution election coming soon. </t>
  </si>
  <si>
    <t>Federal Withholding</t>
  </si>
  <si>
    <t>We encourage your participation!</t>
  </si>
  <si>
    <t>OASDI</t>
  </si>
  <si>
    <t>Medicare</t>
  </si>
  <si>
    <t>State Tax</t>
  </si>
  <si>
    <t>Totals</t>
  </si>
  <si>
    <t>Total Gross Wages</t>
  </si>
  <si>
    <t>Total Taxes</t>
  </si>
  <si>
    <t>Total Deductions</t>
  </si>
  <si>
    <t>Net Pay</t>
  </si>
  <si>
    <t>Allowances Federal: 4      State: 4</t>
  </si>
  <si>
    <t xml:space="preserve">Earnings Statement             </t>
  </si>
  <si>
    <r>
      <t>Company Address</t>
    </r>
    <r>
      <rPr>
        <sz val="8"/>
        <color theme="1"/>
        <rFont val="Helvetica"/>
        <family val="2"/>
      </rPr>
      <t>:</t>
    </r>
  </si>
  <si>
    <r>
      <t>E</t>
    </r>
    <r>
      <rPr>
        <b/>
        <sz val="8"/>
        <color rgb="FF000000"/>
        <rFont val="Helvetica"/>
        <family val="2"/>
      </rPr>
      <t>arnings</t>
    </r>
  </si>
  <si>
    <r>
      <t>T</t>
    </r>
    <r>
      <rPr>
        <b/>
        <sz val="8"/>
        <color rgb="FF000000"/>
        <rFont val="Helvetica"/>
        <family val="2"/>
      </rPr>
      <t>axes</t>
    </r>
  </si>
  <si>
    <r>
      <t xml:space="preserve">Marital Status:  </t>
    </r>
    <r>
      <rPr>
        <sz val="8"/>
        <color theme="1"/>
        <rFont val="Helvetica"/>
        <family val="2"/>
      </rPr>
      <t>Married</t>
    </r>
  </si>
  <si>
    <r>
      <t>Addl. Withholding:</t>
    </r>
    <r>
      <rPr>
        <sz val="8"/>
        <color theme="1"/>
        <rFont val="Helvetica"/>
        <family val="2"/>
      </rPr>
      <t xml:space="preserve"> 0.00</t>
    </r>
  </si>
  <si>
    <t>Deductions</t>
  </si>
  <si>
    <t>Retirement 401K</t>
  </si>
  <si>
    <t>Health Care Premium</t>
  </si>
  <si>
    <t>Health Care Spending Acct</t>
  </si>
  <si>
    <t>United Charities</t>
  </si>
  <si>
    <t>………………………………………………………….………………….……………………………………………………………………………………….</t>
  </si>
  <si>
    <t>---- Year to Date 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</si>
</sst>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1" x14ac:knownFonts="1">
    <font>
      <sz val="12"/>
      <color theme="1"/>
      <name val="Calibri"/>
      <family val="2"/>
      <scheme val="minor"/>
    </font>
    <font>
      <b/>
      <sz val="8"/>
      <color rgb="FF000000"/>
      <name val="Helvetica"/>
      <family val="2"/>
    </font>
    <font>
      <b/>
      <sz val="9"/>
      <color theme="1"/>
      <name val="Helvetica"/>
      <family val="2"/>
    </font>
    <font>
      <sz val="7.5"/>
      <color theme="1"/>
      <name val="Helvetica"/>
      <family val="2"/>
    </font>
    <font>
      <sz val="8"/>
      <color theme="1"/>
      <name val="Helvetica"/>
      <family val="2"/>
    </font>
    <font>
      <sz val="12"/>
      <color theme="1"/>
      <name val="Helvetica"/>
      <family val="2"/>
    </font>
    <font>
      <b/>
      <sz val="9"/>
      <color rgb="FF000000"/>
      <name val="Helvetica"/>
      <family val="2"/>
    </font>
    <font>
      <b/>
      <sz val="8"/>
      <color theme="1"/>
      <name val="Helvetica"/>
      <family val="2"/>
    </font>
    <font>
      <b/>
      <sz val="7.5"/>
      <color theme="1"/>
      <name val="Helvetica"/>
      <family val="2"/>
    </font>
    <font>
      <sz val="8"/>
      <color rgb="FFD0CECE"/>
      <name val="Arial"/>
      <family val="2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Alignment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7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/>
    </xf>
    <xf numFmtId="2" fontId="4" fillId="0" borderId="6" xfId="0" applyNumberFormat="1" applyFont="1" applyBorder="1" applyAlignment="1">
      <alignment horizontal="right" vertical="center" wrapText="1"/>
    </xf>
    <xf numFmtId="0" fontId="3" fillId="0" borderId="7" xfId="0" applyFont="1" applyBorder="1" applyAlignment="1">
      <alignment vertical="center" wrapText="1"/>
    </xf>
    <xf numFmtId="2" fontId="4" fillId="0" borderId="9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vertical="center" wrapText="1"/>
    </xf>
    <xf numFmtId="2" fontId="4" fillId="0" borderId="0" xfId="0" applyNumberFormat="1" applyFont="1" applyBorder="1" applyAlignment="1">
      <alignment horizontal="right" vertical="center" wrapText="1"/>
    </xf>
    <xf numFmtId="0" fontId="4" fillId="2" borderId="11" xfId="0" applyFont="1" applyFill="1" applyBorder="1" applyAlignment="1">
      <alignment horizontal="right" vertical="center" wrapText="1"/>
    </xf>
    <xf numFmtId="0" fontId="4" fillId="2" borderId="12" xfId="0" applyFont="1" applyFill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2" xfId="0" applyFont="1" applyBorder="1"/>
    <xf numFmtId="0" fontId="3" fillId="0" borderId="2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6" xfId="0" applyFont="1" applyBorder="1" applyAlignment="1">
      <alignment vertical="center" wrapText="1"/>
    </xf>
    <xf numFmtId="0" fontId="5" fillId="0" borderId="5" xfId="0" applyFont="1" applyBorder="1"/>
    <xf numFmtId="0" fontId="4" fillId="0" borderId="6" xfId="0" applyFont="1" applyBorder="1" applyAlignment="1">
      <alignment horizontal="right" vertical="center" wrapText="1"/>
    </xf>
    <xf numFmtId="0" fontId="3" fillId="0" borderId="9" xfId="0" applyFont="1" applyBorder="1" applyAlignment="1">
      <alignment vertical="center" wrapText="1"/>
    </xf>
    <xf numFmtId="0" fontId="5" fillId="0" borderId="7" xfId="0" applyFont="1" applyBorder="1"/>
    <xf numFmtId="0" fontId="7" fillId="2" borderId="11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14" fontId="4" fillId="0" borderId="0" xfId="0" applyNumberFormat="1" applyFont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2" fontId="4" fillId="0" borderId="5" xfId="0" applyNumberFormat="1" applyFont="1" applyBorder="1" applyAlignment="1">
      <alignment horizontal="right" vertical="center" wrapText="1"/>
    </xf>
    <xf numFmtId="2" fontId="4" fillId="0" borderId="7" xfId="0" applyNumberFormat="1" applyFont="1" applyBorder="1" applyAlignment="1">
      <alignment horizontal="right" vertical="center" wrapText="1"/>
    </xf>
    <xf numFmtId="2" fontId="4" fillId="0" borderId="6" xfId="0" applyNumberFormat="1" applyFont="1" applyBorder="1" applyAlignment="1">
      <alignment vertical="center" wrapText="1"/>
    </xf>
    <xf numFmtId="2" fontId="4" fillId="0" borderId="9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 wrapText="1"/>
    </xf>
    <xf numFmtId="0" fontId="4" fillId="2" borderId="9" xfId="0" applyFont="1" applyFill="1" applyBorder="1" applyAlignment="1">
      <alignment horizontal="righ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right" vertical="center" wrapText="1"/>
    </xf>
    <xf numFmtId="0" fontId="4" fillId="2" borderId="8" xfId="0" applyFont="1" applyFill="1" applyBorder="1" applyAlignment="1">
      <alignment horizontal="right" vertical="center" wrapText="1"/>
    </xf>
    <xf numFmtId="168" fontId="4" fillId="0" borderId="0" xfId="0" applyNumberFormat="1" applyFont="1" applyBorder="1" applyAlignment="1">
      <alignment horizontal="right" vertical="center" wrapText="1"/>
    </xf>
    <xf numFmtId="0" fontId="9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168" fontId="4" fillId="0" borderId="8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3" fillId="0" borderId="14" xfId="0" applyFont="1" applyBorder="1" applyAlignment="1">
      <alignment horizontal="right" vertical="center" wrapText="1"/>
    </xf>
    <xf numFmtId="0" fontId="4" fillId="0" borderId="14" xfId="0" applyFont="1" applyBorder="1" applyAlignment="1">
      <alignment horizontal="right" vertical="center" wrapText="1"/>
    </xf>
    <xf numFmtId="0" fontId="4" fillId="0" borderId="15" xfId="0" applyFont="1" applyBorder="1" applyAlignment="1">
      <alignment horizontal="right" vertical="center" wrapText="1"/>
    </xf>
    <xf numFmtId="0" fontId="3" fillId="0" borderId="0" xfId="0" quotePrefix="1" applyFont="1" applyBorder="1" applyAlignment="1">
      <alignment horizontal="center" vertical="center" wrapText="1"/>
    </xf>
    <xf numFmtId="2" fontId="7" fillId="0" borderId="9" xfId="0" applyNumberFormat="1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7" xfId="0" applyFont="1" applyBorder="1"/>
    <xf numFmtId="0" fontId="10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152400</xdr:colOff>
      <xdr:row>0</xdr:row>
      <xdr:rowOff>0</xdr:rowOff>
    </xdr:from>
    <xdr:to>
      <xdr:col>9</xdr:col>
      <xdr:colOff>425450</xdr:colOff>
      <xdr:row>1</xdr:row>
      <xdr:rowOff>44450</xdr:rowOff>
    </xdr:to>
    <xdr:pic>
      <xdr:nvPicPr>
        <xdr:cNvPr id="2" name="Graphic 8" descr="Money with solid fill">
          <a:extLst>
            <a:ext uri="{FF2B5EF4-FFF2-40B4-BE49-F238E27FC236}">
              <a16:creationId xmlns:a16="http://schemas.microsoft.com/office/drawing/2014/main" id="{775DAC4C-6F97-034F-A927-9EA91E0A4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5765800" y="0"/>
          <a:ext cx="273050" cy="273050"/>
        </a:xfrm>
        <a:prstGeom prst="rect">
          <a:avLst/>
        </a:prstGeom>
      </xdr:spPr>
    </xdr:pic>
    <xdr:clientData/>
  </xdr:twoCellAnchor>
  <xdr:twoCellAnchor editAs="oneCell">
    <xdr:from>
      <xdr:col>9</xdr:col>
      <xdr:colOff>578067</xdr:colOff>
      <xdr:row>36</xdr:row>
      <xdr:rowOff>24487</xdr:rowOff>
    </xdr:from>
    <xdr:to>
      <xdr:col>10</xdr:col>
      <xdr:colOff>7146</xdr:colOff>
      <xdr:row>38</xdr:row>
      <xdr:rowOff>192549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52878F-A874-3E4C-A5A7-5CDF4C5AE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044087" y="6424161"/>
          <a:ext cx="575945" cy="142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DC3B7-A365-314E-88E8-1E0D0AE5A5F6}">
  <dimension ref="A1:J40"/>
  <sheetViews>
    <sheetView tabSelected="1" topLeftCell="A12" zoomScale="137" zoomScaleNormal="137" workbookViewId="0">
      <selection activeCell="H37" sqref="H37"/>
    </sheetView>
  </sheetViews>
  <sheetFormatPr baseColWidth="10" defaultRowHeight="16" x14ac:dyDescent="0.2"/>
  <cols>
    <col min="1" max="1" width="12.33203125" customWidth="1"/>
    <col min="2" max="5" width="7.33203125" customWidth="1"/>
    <col min="6" max="6" width="8.1640625" customWidth="1"/>
    <col min="7" max="7" width="3.1640625" customWidth="1"/>
    <col min="8" max="8" width="16.33203125" customWidth="1"/>
    <col min="9" max="9" width="6.1640625" customWidth="1"/>
    <col min="10" max="10" width="9.33203125" customWidth="1"/>
  </cols>
  <sheetData>
    <row r="1" spans="1:10" ht="18" customHeight="1" x14ac:dyDescent="0.2">
      <c r="G1" s="25"/>
      <c r="H1" s="25" t="s">
        <v>46</v>
      </c>
      <c r="I1" s="25"/>
      <c r="J1" s="25"/>
    </row>
    <row r="2" spans="1:10" ht="13" customHeight="1" x14ac:dyDescent="0.2">
      <c r="A2" s="8" t="s">
        <v>0</v>
      </c>
      <c r="B2" s="9"/>
      <c r="C2" s="9"/>
      <c r="D2" s="9"/>
      <c r="E2" s="9"/>
      <c r="F2" s="10"/>
      <c r="G2" s="58" t="s">
        <v>1</v>
      </c>
      <c r="H2" s="59"/>
      <c r="I2" s="60">
        <v>44268</v>
      </c>
      <c r="J2" s="24"/>
    </row>
    <row r="3" spans="1:10" ht="13" customHeight="1" x14ac:dyDescent="0.2">
      <c r="A3" s="11" t="s">
        <v>2</v>
      </c>
      <c r="B3" s="12" t="s">
        <v>3</v>
      </c>
      <c r="C3" s="12"/>
      <c r="D3" s="12"/>
      <c r="E3" s="12"/>
      <c r="F3" s="13"/>
      <c r="G3" s="61"/>
      <c r="H3" s="62" t="s">
        <v>7</v>
      </c>
      <c r="I3" s="60">
        <v>44331</v>
      </c>
      <c r="J3" s="24"/>
    </row>
    <row r="4" spans="1:10" ht="13" customHeight="1" x14ac:dyDescent="0.2">
      <c r="A4" s="11" t="s">
        <v>47</v>
      </c>
      <c r="B4" s="12" t="s">
        <v>4</v>
      </c>
      <c r="C4" s="12"/>
      <c r="D4" s="12"/>
      <c r="E4" s="12"/>
      <c r="F4" s="13"/>
      <c r="G4" s="61"/>
      <c r="H4" s="63"/>
      <c r="I4" s="60"/>
      <c r="J4" s="24"/>
    </row>
    <row r="5" spans="1:10" ht="13" customHeight="1" x14ac:dyDescent="0.2">
      <c r="A5" s="14"/>
      <c r="B5" s="12" t="s">
        <v>5</v>
      </c>
      <c r="C5" s="12"/>
      <c r="D5" s="12"/>
      <c r="E5" s="12"/>
      <c r="F5" s="13"/>
      <c r="G5" s="61"/>
      <c r="H5" s="63"/>
      <c r="I5" s="60"/>
      <c r="J5" s="24"/>
    </row>
    <row r="6" spans="1:10" ht="13" customHeight="1" x14ac:dyDescent="0.2">
      <c r="A6" s="14"/>
      <c r="B6" s="12" t="s">
        <v>6</v>
      </c>
      <c r="C6" s="12"/>
      <c r="D6" s="12"/>
      <c r="E6" s="12"/>
      <c r="F6" s="13"/>
      <c r="G6" s="61"/>
      <c r="H6" s="63"/>
      <c r="I6" s="60"/>
      <c r="J6" s="24"/>
    </row>
    <row r="7" spans="1:10" ht="13" customHeight="1" x14ac:dyDescent="0.2">
      <c r="A7" s="15"/>
      <c r="B7" s="16"/>
      <c r="C7" s="16"/>
      <c r="D7" s="16"/>
      <c r="E7" s="16"/>
      <c r="F7" s="17"/>
      <c r="G7" s="61"/>
      <c r="H7" s="63"/>
      <c r="I7" s="60"/>
      <c r="J7" s="64"/>
    </row>
    <row r="8" spans="1:10" ht="13" customHeight="1" x14ac:dyDescent="0.2">
      <c r="A8" s="18" t="s">
        <v>8</v>
      </c>
      <c r="B8" s="19"/>
      <c r="C8" s="19"/>
      <c r="D8" s="19"/>
      <c r="E8" s="19"/>
      <c r="F8" s="20"/>
      <c r="G8" s="25"/>
      <c r="H8" s="5" t="s">
        <v>9</v>
      </c>
      <c r="I8" s="6"/>
      <c r="J8" s="7"/>
    </row>
    <row r="9" spans="1:10" ht="13" customHeight="1" x14ac:dyDescent="0.2">
      <c r="A9" s="11" t="s">
        <v>10</v>
      </c>
      <c r="B9" s="12" t="s">
        <v>11</v>
      </c>
      <c r="C9" s="12"/>
      <c r="D9" s="12"/>
      <c r="E9" s="12"/>
      <c r="F9" s="13"/>
      <c r="G9" s="25"/>
      <c r="H9" s="65" t="s">
        <v>50</v>
      </c>
      <c r="I9" s="66"/>
      <c r="J9" s="67"/>
    </row>
    <row r="10" spans="1:10" ht="13" customHeight="1" x14ac:dyDescent="0.2">
      <c r="A10" s="11" t="s">
        <v>12</v>
      </c>
      <c r="B10" s="21" t="s">
        <v>13</v>
      </c>
      <c r="C10" s="21"/>
      <c r="D10" s="21"/>
      <c r="E10" s="21"/>
      <c r="F10" s="13"/>
      <c r="G10" s="25"/>
      <c r="H10" s="22" t="s">
        <v>45</v>
      </c>
      <c r="I10" s="68"/>
      <c r="J10" s="46"/>
    </row>
    <row r="11" spans="1:10" ht="13" customHeight="1" x14ac:dyDescent="0.2">
      <c r="A11" s="22" t="s">
        <v>14</v>
      </c>
      <c r="B11" s="21" t="s">
        <v>15</v>
      </c>
      <c r="C11" s="21"/>
      <c r="D11" s="21"/>
      <c r="E11" s="21"/>
      <c r="F11" s="13"/>
      <c r="G11" s="25"/>
      <c r="H11" s="22" t="s">
        <v>51</v>
      </c>
      <c r="I11" s="68"/>
      <c r="J11" s="46"/>
    </row>
    <row r="12" spans="1:10" ht="13" customHeight="1" x14ac:dyDescent="0.2">
      <c r="A12" s="22"/>
      <c r="B12" s="21" t="s">
        <v>16</v>
      </c>
      <c r="C12" s="21"/>
      <c r="D12" s="21"/>
      <c r="E12" s="21"/>
      <c r="F12" s="13"/>
      <c r="G12" s="25"/>
      <c r="H12" s="22"/>
      <c r="I12" s="68"/>
      <c r="J12" s="46"/>
    </row>
    <row r="13" spans="1:10" ht="13" customHeight="1" x14ac:dyDescent="0.2">
      <c r="A13" s="23"/>
      <c r="B13" s="16"/>
      <c r="C13" s="16"/>
      <c r="D13" s="16"/>
      <c r="E13" s="16"/>
      <c r="F13" s="17"/>
      <c r="G13" s="25"/>
      <c r="H13" s="23"/>
      <c r="I13" s="69"/>
      <c r="J13" s="49"/>
    </row>
    <row r="14" spans="1:10" ht="13" customHeight="1" x14ac:dyDescent="0.2">
      <c r="A14" s="26" t="s">
        <v>48</v>
      </c>
      <c r="B14" s="27"/>
      <c r="C14" s="27"/>
      <c r="D14" s="27"/>
      <c r="E14" s="27"/>
      <c r="F14" s="28"/>
      <c r="G14" s="37"/>
      <c r="H14" s="70" t="s">
        <v>17</v>
      </c>
      <c r="I14" s="71"/>
      <c r="J14" s="72"/>
    </row>
    <row r="15" spans="1:10" ht="13" customHeight="1" x14ac:dyDescent="0.2">
      <c r="A15" s="29"/>
      <c r="B15" s="86" t="s">
        <v>18</v>
      </c>
      <c r="C15" s="96"/>
      <c r="D15" s="87"/>
      <c r="E15" s="105" t="s">
        <v>58</v>
      </c>
      <c r="F15" s="30"/>
      <c r="G15" s="37"/>
      <c r="H15" s="101"/>
      <c r="I15" s="98"/>
      <c r="J15" s="73"/>
    </row>
    <row r="16" spans="1:10" ht="13" customHeight="1" x14ac:dyDescent="0.2">
      <c r="A16" s="11"/>
      <c r="B16" s="74" t="s">
        <v>20</v>
      </c>
      <c r="C16" s="31" t="s">
        <v>21</v>
      </c>
      <c r="D16" s="32" t="s">
        <v>22</v>
      </c>
      <c r="E16" s="31" t="s">
        <v>21</v>
      </c>
      <c r="F16" s="32" t="s">
        <v>22</v>
      </c>
      <c r="G16" s="33"/>
      <c r="H16" s="102" t="s">
        <v>23</v>
      </c>
      <c r="I16" s="94">
        <v>40</v>
      </c>
      <c r="J16" s="48"/>
    </row>
    <row r="17" spans="1:10" ht="13" customHeight="1" x14ac:dyDescent="0.2">
      <c r="A17" s="11" t="s">
        <v>24</v>
      </c>
      <c r="B17" s="82">
        <v>20</v>
      </c>
      <c r="C17" s="94">
        <v>40</v>
      </c>
      <c r="D17" s="34">
        <f>B17*C17</f>
        <v>800</v>
      </c>
      <c r="E17" s="94">
        <v>400</v>
      </c>
      <c r="F17" s="34">
        <f>E17*B17</f>
        <v>8000</v>
      </c>
      <c r="G17" s="33"/>
      <c r="H17" s="102" t="s">
        <v>25</v>
      </c>
      <c r="I17" s="94">
        <v>16</v>
      </c>
      <c r="J17" s="48"/>
    </row>
    <row r="18" spans="1:10" ht="13" customHeight="1" x14ac:dyDescent="0.2">
      <c r="A18" s="11" t="s">
        <v>26</v>
      </c>
      <c r="B18" s="82">
        <v>30</v>
      </c>
      <c r="C18" s="94">
        <v>2</v>
      </c>
      <c r="D18" s="34">
        <f>B18*C18</f>
        <v>60</v>
      </c>
      <c r="E18" s="94">
        <v>20</v>
      </c>
      <c r="F18" s="34">
        <f>E18*B18</f>
        <v>600</v>
      </c>
      <c r="G18" s="33"/>
      <c r="H18" s="102"/>
      <c r="I18" s="99"/>
      <c r="J18" s="75"/>
    </row>
    <row r="19" spans="1:10" ht="13" customHeight="1" x14ac:dyDescent="0.2">
      <c r="A19" s="11" t="s">
        <v>27</v>
      </c>
      <c r="B19" s="82">
        <v>20</v>
      </c>
      <c r="C19" s="94">
        <v>0</v>
      </c>
      <c r="D19" s="34">
        <f>B19*C19</f>
        <v>0</v>
      </c>
      <c r="E19" s="94">
        <v>8</v>
      </c>
      <c r="F19" s="34">
        <v>160</v>
      </c>
      <c r="G19" s="33"/>
      <c r="H19" s="102" t="s">
        <v>28</v>
      </c>
      <c r="I19" s="37" t="s">
        <v>29</v>
      </c>
      <c r="J19" s="75"/>
    </row>
    <row r="20" spans="1:10" ht="13" customHeight="1" x14ac:dyDescent="0.2">
      <c r="A20" s="11" t="s">
        <v>30</v>
      </c>
      <c r="B20" s="82">
        <v>20</v>
      </c>
      <c r="C20" s="94">
        <v>0</v>
      </c>
      <c r="D20" s="34">
        <f>B20*C20</f>
        <v>0</v>
      </c>
      <c r="E20" s="94">
        <v>20</v>
      </c>
      <c r="F20" s="34">
        <v>400</v>
      </c>
      <c r="G20" s="33"/>
      <c r="H20" s="103"/>
      <c r="I20" s="99"/>
      <c r="J20" s="75"/>
    </row>
    <row r="21" spans="1:10" ht="13" customHeight="1" x14ac:dyDescent="0.2">
      <c r="A21" s="35" t="s">
        <v>31</v>
      </c>
      <c r="B21" s="83">
        <v>20</v>
      </c>
      <c r="C21" s="97">
        <v>0</v>
      </c>
      <c r="D21" s="36">
        <f>B21*C21</f>
        <v>0</v>
      </c>
      <c r="E21" s="94">
        <v>0</v>
      </c>
      <c r="F21" s="36">
        <v>0</v>
      </c>
      <c r="G21" s="33"/>
      <c r="H21" s="104"/>
      <c r="I21" s="100"/>
      <c r="J21" s="76"/>
    </row>
    <row r="22" spans="1:10" ht="13" customHeight="1" x14ac:dyDescent="0.2">
      <c r="A22" s="26" t="s">
        <v>49</v>
      </c>
      <c r="B22" s="93"/>
      <c r="C22" s="93"/>
      <c r="D22" s="93"/>
      <c r="E22" s="39"/>
      <c r="F22" s="40"/>
      <c r="G22" s="25"/>
      <c r="H22" s="70" t="s">
        <v>32</v>
      </c>
      <c r="I22" s="71"/>
      <c r="J22" s="72"/>
    </row>
    <row r="23" spans="1:10" ht="13" customHeight="1" x14ac:dyDescent="0.2">
      <c r="A23" s="41"/>
      <c r="B23" s="42"/>
      <c r="C23" s="43"/>
      <c r="D23" s="88" t="s">
        <v>33</v>
      </c>
      <c r="E23" s="44" t="s">
        <v>19</v>
      </c>
      <c r="F23" s="45"/>
      <c r="G23" s="25"/>
      <c r="H23" s="77" t="s">
        <v>34</v>
      </c>
      <c r="I23" s="78"/>
      <c r="J23" s="79"/>
    </row>
    <row r="24" spans="1:10" ht="13" customHeight="1" x14ac:dyDescent="0.2">
      <c r="A24" s="22" t="s">
        <v>35</v>
      </c>
      <c r="B24" s="46"/>
      <c r="C24" s="47"/>
      <c r="D24" s="84">
        <f>D36*0.15</f>
        <v>129</v>
      </c>
      <c r="E24" s="3"/>
      <c r="F24" s="84">
        <f>F36*0.15</f>
        <v>1374</v>
      </c>
      <c r="G24" s="25"/>
      <c r="H24" s="80" t="s">
        <v>36</v>
      </c>
      <c r="I24" s="12"/>
      <c r="J24" s="13"/>
    </row>
    <row r="25" spans="1:10" ht="13" customHeight="1" x14ac:dyDescent="0.2">
      <c r="A25" s="22" t="s">
        <v>37</v>
      </c>
      <c r="B25" s="46"/>
      <c r="C25" s="47"/>
      <c r="D25" s="84">
        <f>D36*0.062</f>
        <v>53.32</v>
      </c>
      <c r="E25" s="3"/>
      <c r="F25" s="84">
        <f>F36*0.062</f>
        <v>567.91999999999996</v>
      </c>
      <c r="G25" s="25"/>
      <c r="H25" s="80"/>
      <c r="I25" s="12"/>
      <c r="J25" s="13"/>
    </row>
    <row r="26" spans="1:10" ht="13" customHeight="1" x14ac:dyDescent="0.2">
      <c r="A26" s="22" t="s">
        <v>38</v>
      </c>
      <c r="B26" s="46"/>
      <c r="C26" s="47"/>
      <c r="D26" s="84">
        <f>D36*0.0145</f>
        <v>12.47</v>
      </c>
      <c r="E26" s="3"/>
      <c r="F26" s="84">
        <f>F36*0.0145</f>
        <v>132.82</v>
      </c>
      <c r="G26" s="25"/>
      <c r="H26" s="80"/>
      <c r="I26" s="12"/>
      <c r="J26" s="13"/>
    </row>
    <row r="27" spans="1:10" ht="13" customHeight="1" x14ac:dyDescent="0.2">
      <c r="A27" s="23" t="s">
        <v>39</v>
      </c>
      <c r="B27" s="49"/>
      <c r="C27" s="50"/>
      <c r="D27" s="85">
        <f>D36*0.03</f>
        <v>25.8</v>
      </c>
      <c r="E27" s="4"/>
      <c r="F27" s="85">
        <f>F36*0.03</f>
        <v>274.8</v>
      </c>
      <c r="G27" s="25"/>
      <c r="H27" s="81"/>
      <c r="I27" s="16"/>
      <c r="J27" s="17"/>
    </row>
    <row r="28" spans="1:10" ht="13" customHeight="1" x14ac:dyDescent="0.2">
      <c r="A28" s="26" t="s">
        <v>52</v>
      </c>
      <c r="B28" s="39"/>
      <c r="C28" s="39"/>
      <c r="D28" s="39"/>
      <c r="E28" s="93"/>
      <c r="F28" s="89"/>
    </row>
    <row r="29" spans="1:10" ht="13" customHeight="1" x14ac:dyDescent="0.2">
      <c r="A29" s="90"/>
      <c r="B29" s="91"/>
      <c r="C29" s="47"/>
      <c r="D29" s="31" t="s">
        <v>33</v>
      </c>
      <c r="E29" s="44" t="s">
        <v>19</v>
      </c>
      <c r="F29" s="45"/>
    </row>
    <row r="30" spans="1:10" ht="13" customHeight="1" x14ac:dyDescent="0.2">
      <c r="A30" s="22" t="s">
        <v>53</v>
      </c>
      <c r="B30" s="46"/>
      <c r="C30" s="47"/>
      <c r="D30" s="38">
        <v>100</v>
      </c>
      <c r="E30" s="3"/>
      <c r="F30" s="84">
        <v>1000</v>
      </c>
    </row>
    <row r="31" spans="1:10" ht="13" customHeight="1" x14ac:dyDescent="0.2">
      <c r="A31" s="22" t="s">
        <v>54</v>
      </c>
      <c r="B31" s="46"/>
      <c r="C31" s="47"/>
      <c r="D31" s="38">
        <v>210</v>
      </c>
      <c r="E31" s="3"/>
      <c r="F31" s="84">
        <v>2100</v>
      </c>
    </row>
    <row r="32" spans="1:10" ht="13" customHeight="1" x14ac:dyDescent="0.2">
      <c r="A32" s="22" t="s">
        <v>55</v>
      </c>
      <c r="B32" s="46"/>
      <c r="C32" s="47"/>
      <c r="D32" s="38">
        <v>20</v>
      </c>
      <c r="E32" s="3"/>
      <c r="F32" s="84">
        <v>200</v>
      </c>
    </row>
    <row r="33" spans="1:10" ht="13" customHeight="1" x14ac:dyDescent="0.2">
      <c r="A33" s="22" t="s">
        <v>56</v>
      </c>
      <c r="B33" s="46"/>
      <c r="C33" s="47"/>
      <c r="D33" s="38">
        <v>5</v>
      </c>
      <c r="E33" s="4"/>
      <c r="F33" s="85">
        <v>100</v>
      </c>
    </row>
    <row r="34" spans="1:10" x14ac:dyDescent="0.2">
      <c r="A34" s="26" t="s">
        <v>40</v>
      </c>
      <c r="B34" s="39"/>
      <c r="C34" s="39"/>
      <c r="D34" s="51"/>
      <c r="E34" s="51"/>
      <c r="F34" s="40"/>
    </row>
    <row r="35" spans="1:10" ht="16" customHeight="1" x14ac:dyDescent="0.2">
      <c r="A35" s="52"/>
      <c r="B35" s="53"/>
      <c r="C35" s="47"/>
      <c r="D35" s="31" t="s">
        <v>33</v>
      </c>
      <c r="E35" s="2"/>
      <c r="F35" s="92" t="s">
        <v>19</v>
      </c>
    </row>
    <row r="36" spans="1:10" x14ac:dyDescent="0.2">
      <c r="A36" s="22" t="s">
        <v>41</v>
      </c>
      <c r="B36" s="46"/>
      <c r="C36" s="47"/>
      <c r="D36" s="84">
        <f>SUM(D17:D21)</f>
        <v>860</v>
      </c>
      <c r="E36" s="3"/>
      <c r="F36" s="84">
        <f>SUM(F17:F21)</f>
        <v>9160</v>
      </c>
    </row>
    <row r="37" spans="1:10" x14ac:dyDescent="0.2">
      <c r="A37" s="54" t="s">
        <v>42</v>
      </c>
      <c r="B37" s="55"/>
      <c r="C37" s="47"/>
      <c r="D37" s="84">
        <f>SUM(D24:D27)</f>
        <v>220.59</v>
      </c>
      <c r="E37" s="3"/>
      <c r="F37" s="84">
        <f>SUM(F24:F27)</f>
        <v>2349.5400000000004</v>
      </c>
    </row>
    <row r="38" spans="1:10" x14ac:dyDescent="0.2">
      <c r="A38" s="56" t="s">
        <v>43</v>
      </c>
      <c r="B38" s="57"/>
      <c r="C38" s="47"/>
      <c r="D38" s="84">
        <f>SUM(D30:D33)</f>
        <v>335</v>
      </c>
      <c r="E38" s="3"/>
      <c r="F38" s="84">
        <f>SUM(F30:F33)</f>
        <v>3400</v>
      </c>
    </row>
    <row r="39" spans="1:10" x14ac:dyDescent="0.2">
      <c r="A39" s="107" t="s">
        <v>44</v>
      </c>
      <c r="B39" s="108"/>
      <c r="C39" s="109"/>
      <c r="D39" s="106">
        <v>274.8</v>
      </c>
      <c r="E39" s="110"/>
      <c r="F39" s="106">
        <v>274.8</v>
      </c>
    </row>
    <row r="40" spans="1:10" x14ac:dyDescent="0.2">
      <c r="A40" s="95" t="s">
        <v>57</v>
      </c>
      <c r="B40" s="1"/>
      <c r="C40" s="1"/>
      <c r="D40" s="1"/>
      <c r="E40" s="1"/>
      <c r="F40" s="1"/>
      <c r="G40" s="1"/>
      <c r="H40" s="1"/>
      <c r="I40" s="1"/>
      <c r="J40" s="1"/>
    </row>
  </sheetData>
  <mergeCells count="48">
    <mergeCell ref="A32:B32"/>
    <mergeCell ref="A33:B33"/>
    <mergeCell ref="A29:B29"/>
    <mergeCell ref="E29:F29"/>
    <mergeCell ref="A30:B30"/>
    <mergeCell ref="A31:B31"/>
    <mergeCell ref="A35:B35"/>
    <mergeCell ref="A36:B36"/>
    <mergeCell ref="A37:B37"/>
    <mergeCell ref="A38:B38"/>
    <mergeCell ref="A39:B39"/>
    <mergeCell ref="E23:F23"/>
    <mergeCell ref="H24:J24"/>
    <mergeCell ref="H25:J25"/>
    <mergeCell ref="H26:J26"/>
    <mergeCell ref="H27:J27"/>
    <mergeCell ref="H14:J14"/>
    <mergeCell ref="A24:B24"/>
    <mergeCell ref="A25:B25"/>
    <mergeCell ref="A26:B26"/>
    <mergeCell ref="A27:B27"/>
    <mergeCell ref="A23:B23"/>
    <mergeCell ref="B6:F6"/>
    <mergeCell ref="B7:F7"/>
    <mergeCell ref="B8:F8"/>
    <mergeCell ref="B2:F2"/>
    <mergeCell ref="H22:J22"/>
    <mergeCell ref="H23:J23"/>
    <mergeCell ref="B14:D14"/>
    <mergeCell ref="E14:F14"/>
    <mergeCell ref="B15:D15"/>
    <mergeCell ref="E15:F15"/>
    <mergeCell ref="B12:F12"/>
    <mergeCell ref="B11:F11"/>
    <mergeCell ref="B13:F13"/>
    <mergeCell ref="H10:J10"/>
    <mergeCell ref="A11:A13"/>
    <mergeCell ref="H11:J11"/>
    <mergeCell ref="H12:J12"/>
    <mergeCell ref="H13:J13"/>
    <mergeCell ref="B10:F10"/>
    <mergeCell ref="G2:H2"/>
    <mergeCell ref="H8:J8"/>
    <mergeCell ref="H9:J9"/>
    <mergeCell ref="B9:F9"/>
    <mergeCell ref="B3:F3"/>
    <mergeCell ref="B4:F4"/>
    <mergeCell ref="B5:F5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Antin</dc:creator>
  <cp:lastModifiedBy>BENJAMIN Antin</cp:lastModifiedBy>
  <cp:lastPrinted>2021-11-03T23:50:55Z</cp:lastPrinted>
  <dcterms:created xsi:type="dcterms:W3CDTF">2021-11-03T22:50:27Z</dcterms:created>
  <dcterms:modified xsi:type="dcterms:W3CDTF">2021-11-03T23:54:54Z</dcterms:modified>
</cp:coreProperties>
</file>